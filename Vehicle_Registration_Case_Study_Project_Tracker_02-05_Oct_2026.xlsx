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ask Tracker" sheetId="2" state="visible" r:id="rId2"/>
    <sheet xmlns:r="http://schemas.openxmlformats.org/officeDocument/2006/relationships" name="Daily Work Log" sheetId="3" state="visible" r:id="rId3"/>
    <sheet xmlns:r="http://schemas.openxmlformats.org/officeDocument/2006/relationships" name="Dashboard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dd\-mmm\-yyyy"/>
    <numFmt numFmtId="165" formatCode="0.0"/>
    <numFmt numFmtId="166" formatCode="0.0\%"/>
    <numFmt numFmtId="167" formatCode="dd-mmm-yyyy"/>
    <numFmt numFmtId="168" formatCode="0&quot;%&quot;"/>
  </numFmts>
  <fonts count="9">
    <font>
      <name val="Calibri"/>
      <charset val="1"/>
      <family val="2"/>
      <color theme="1"/>
      <sz val="11"/>
    </font>
    <font>
      <name val="Arial"/>
      <charset val="1"/>
      <b val="1"/>
      <color rgb="FF1F3864"/>
      <sz val="20"/>
    </font>
    <font>
      <name val="Arial"/>
      <charset val="1"/>
      <i val="1"/>
      <color rgb="FF595959"/>
      <sz val="10"/>
    </font>
    <font>
      <name val="Arial"/>
      <charset val="1"/>
      <b val="1"/>
      <sz val="10"/>
    </font>
    <font>
      <name val="Arial"/>
      <charset val="1"/>
      <sz val="10"/>
    </font>
    <font>
      <name val="Arial"/>
      <charset val="1"/>
      <b val="1"/>
      <color rgb="FF1F3864"/>
      <sz val="16"/>
    </font>
    <font>
      <name val="Arial"/>
      <charset val="1"/>
      <b val="1"/>
      <color rgb="FFFFFFFF"/>
      <sz val="11"/>
    </font>
    <font>
      <name val="Arial"/>
      <charset val="1"/>
      <i val="1"/>
      <color rgb="FF808080"/>
      <sz val="10"/>
    </font>
    <font>
      <name val="Arial"/>
      <charset val="1"/>
      <b val="1"/>
      <color rgb="FF1F3864"/>
      <sz val="11"/>
    </font>
  </fonts>
  <fills count="6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9E2F3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164" fontId="7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5" borderId="1" pivotButton="0" quotePrefix="0" xfId="0"/>
    <xf numFmtId="0" fontId="8" fillId="0" borderId="1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6" fontId="8" fillId="0" borderId="1" applyAlignment="1" pivotButton="0" quotePrefix="0" xfId="0">
      <alignment horizontal="center" vertical="center" wrapText="1"/>
    </xf>
    <xf numFmtId="165" fontId="0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2" fillId="0" borderId="0" pivotButton="0" quotePrefix="0" xfId="0"/>
    <xf numFmtId="167" fontId="7" fillId="3" borderId="1" applyAlignment="1" pivotButton="0" quotePrefix="0" xfId="0">
      <alignment horizontal="center" vertical="center" wrapText="1"/>
    </xf>
    <xf numFmtId="168" fontId="7" fillId="3" borderId="1" applyAlignment="1" pivotButton="0" quotePrefix="0" xfId="0">
      <alignment horizontal="center" vertical="center" wrapText="1"/>
    </xf>
  </cellXfs>
  <cellStyles count="1">
    <cellStyle name="Normal" xfId="0" builtinId="0"/>
  </cellStyles>
  <dxfs count="5">
    <dxf>
      <fill>
        <patternFill>
          <bgColor rgb="FFF2F2F2"/>
        </patternFill>
      </fill>
    </dxf>
    <dxf>
      <fill>
        <patternFill>
          <bgColor rgb="FFBDD7E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C0504D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6EFCE"/>
      <rgbColor rgb="FFFFEB9C"/>
      <rgbColor rgb="FFD9D9D9"/>
      <rgbColor rgb="FFFF99CC"/>
      <rgbColor rgb="FFCC99FF"/>
      <rgbColor rgb="FFFFC7CE"/>
      <rgbColor rgb="FF4F81BD"/>
      <rgbColor rgb="FF4BACC6"/>
      <rgbColor rgb="FF9BBB59"/>
      <rgbColor rgb="FFFFCC00"/>
      <rgbColor rgb="FFFF9900"/>
      <rgbColor rgb="FFFF6600"/>
      <rgbColor rgb="FF8064A2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Task Status Breakdown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pieChart>
        <varyColors val="1"/>
        <ser>
          <idx val="0"/>
          <order val="0"/>
          <tx>
            <strRef>
              <f>Dashboard!$C$20</f>
              <strCache>
                <ptCount val="1"/>
                <pt idx="0">
                  <v>Count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4F81BD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C0504D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9BBB59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rgbClr val="4BACC6"/>
              </a:soli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  <a:endParaRPr lang="en-US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  <a:endParaRPr lang="en-US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2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  <a:endParaRPr lang="en-US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3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  <a:endParaRPr lang="en-US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4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  <a:endParaRPr lang="en-US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1"/>
          </dLbls>
          <cat>
            <strRef>
              <f>Dashboard!$B$21:$B$25</f>
              <strCache>
                <ptCount val="5"/>
                <pt idx="0">
                  <v>Not Started</v>
                </pt>
                <pt idx="1">
                  <v>In Progress</v>
                </pt>
                <pt idx="2">
                  <v>Blocked</v>
                </pt>
                <pt idx="3">
                  <v>In Review</v>
                </pt>
                <pt idx="4">
                  <v>Completed</v>
                </pt>
              </strCache>
            </strRef>
          </cat>
          <val>
            <numRef>
              <f>Dashboard!$C$21:$C$25</f>
              <numCache>
                <formatCode>General</formatCode>
                <ptCount val="5"/>
                <pt idx="0">
                  <v>11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Hours: Estimated vs Spent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Dashboard!$F$20</f>
              <strCache>
                <ptCount val="1"/>
                <pt idx="0">
                  <v>Hours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Dashboard!$E$21:$E$22</f>
              <strCache>
                <ptCount val="2"/>
                <pt idx="0">
                  <v>Est. Hours</v>
                </pt>
                <pt idx="1">
                  <v>Spent Hours</v>
                </pt>
              </strCache>
            </strRef>
          </cat>
          <val>
            <numRef>
              <f>Dashboard!$F$21:$F$22</f>
              <numCache>
                <formatCode>0.0</formatCode>
                <ptCount val="2"/>
                <pt idx="0">
                  <v>61</v>
                </pt>
                <pt idx="1">
                  <v>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213176"/>
        <axId val="98183877"/>
      </barChart>
      <catAx>
        <axId val="421317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98183877"/>
        <crosses val="autoZero"/>
        <auto val="1"/>
        <lblAlgn val="ctr"/>
        <lblOffset val="100"/>
        <noMultiLvlLbl val="0"/>
      </catAx>
      <valAx>
        <axId val="98183877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.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21317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 editAs="oneCell">
    <from>
      <col>4</col>
      <colOff>0</colOff>
      <row>3</row>
      <rowOff>131040</rowOff>
    </from>
    <to>
      <col>11</col>
      <colOff>39240</colOff>
      <row>18</row>
      <rowOff>153000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4</col>
      <colOff>0</colOff>
      <row>18</row>
      <rowOff>130680</rowOff>
    </from>
    <to>
      <col>11</col>
      <colOff>39240</colOff>
      <row>33</row>
      <rowOff>153000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25"/>
  <sheetViews>
    <sheetView showGridLines="0" topLeftCell="A16" zoomScale="160" zoomScaleNormal="160" workbookViewId="0">
      <selection activeCell="B23" sqref="B23:I23"/>
    </sheetView>
  </sheetViews>
  <sheetFormatPr baseColWidth="8" defaultColWidth="8.6640625" defaultRowHeight="14.4"/>
  <cols>
    <col width="3" customWidth="1" min="1" max="1"/>
    <col width="100" customWidth="1" min="2" max="2"/>
    <col width="12" customWidth="1" min="3" max="9"/>
  </cols>
  <sheetData>
    <row r="2" ht="24.6" customHeight="1">
      <c r="B2" s="3" t="inlineStr">
        <is>
          <t>Case Study Project Tracker</t>
        </is>
      </c>
    </row>
    <row r="3">
      <c r="B3" s="23" t="inlineStr">
        <is>
          <t>Java Full Stack Training — Capstone Case Study</t>
        </is>
      </c>
    </row>
    <row r="5" ht="15" customHeight="1">
      <c r="B5" s="21" t="inlineStr">
        <is>
          <t>How to use this workbook</t>
        </is>
      </c>
    </row>
    <row r="6" ht="15" customHeight="1">
      <c r="B6" s="20" t="inlineStr">
        <is>
          <t>1. Go to the 'Task Tracker' sheet. Each trainee/team lists the tasks (modules, features, sub-tasks) for their case study there — similar to a sprint backlog in a real software team.</t>
        </is>
      </c>
    </row>
    <row r="7" ht="15" customHeight="1">
      <c r="B7" s="20" t="inlineStr">
        <is>
          <t>2. Update your task's Status, % Complete, and Hours Spent regularly (daily/every alternate day) — do not wait until the deadline.</t>
        </is>
      </c>
    </row>
    <row r="8" ht="15" customHeight="1">
      <c r="B8" s="20" t="inlineStr">
        <is>
          <t>3. Use the 'Daily Work Log' sheet every working day to record what you did, like a standup update: Yesterday's work, Today's plan, and any blockers.</t>
        </is>
      </c>
    </row>
    <row r="9" ht="15" customHeight="1">
      <c r="B9" s="20" t="inlineStr">
        <is>
          <t>4. The 'Dashboard' sheet updates automatically from the Task Tracker sheet — do not edit it directly.</t>
        </is>
      </c>
    </row>
    <row r="10" ht="15" customHeight="1">
      <c r="B10" s="20" t="inlineStr">
        <is>
          <t>5. Cells shaded light yellow are example rows — replace them with your own data. Do not delete the header rows.</t>
        </is>
      </c>
    </row>
    <row r="11">
      <c r="B11" s="20" t="n"/>
    </row>
    <row r="12" ht="15" customHeight="1">
      <c r="B12" s="21" t="inlineStr">
        <is>
          <t>Column &amp; Status Legend (Task Tracker sheet)</t>
        </is>
      </c>
    </row>
    <row r="13" ht="15" customHeight="1">
      <c r="B13" s="20" t="inlineStr">
        <is>
          <t>Status values: Not Started, In Progress, Blocked, In Review, Completed</t>
        </is>
      </c>
    </row>
    <row r="14" ht="15" customHeight="1">
      <c r="B14" s="20" t="inlineStr">
        <is>
          <t>Priority values: High, Medium, Low</t>
        </is>
      </c>
    </row>
    <row r="15" ht="15" customHeight="1">
      <c r="B15" s="20" t="inlineStr">
        <is>
          <t>% Complete: enter a whole number between 0 and 100 (e.g., 50 for 50%).</t>
        </is>
      </c>
    </row>
    <row r="16" ht="15" customHeight="1">
      <c r="B16" s="20" t="inlineStr">
        <is>
          <t>Hours Estimated / Hours Spent: enter numeric hours (e.g., 4, 6.5).</t>
        </is>
      </c>
    </row>
    <row r="17" ht="15" customHeight="1">
      <c r="B17" s="20" t="inlineStr">
        <is>
          <t>Remarks / Blockers: mention any dependency, doubt, or issue blocking progress — leave blank if none.</t>
        </is>
      </c>
    </row>
    <row r="18">
      <c r="B18" s="20" t="n"/>
    </row>
    <row r="19" ht="15" customHeight="1">
      <c r="B19" s="21" t="inlineStr">
        <is>
          <t>Column Legend (Daily Work Log sheet)</t>
        </is>
      </c>
    </row>
    <row r="20" ht="15" customHeight="1">
      <c r="B20" s="20" t="inlineStr">
        <is>
          <t>Fill one row per person per working day. Task ID should match the Task Tracker sheet where applicable.</t>
        </is>
      </c>
    </row>
    <row r="21">
      <c r="B21" s="20" t="n"/>
    </row>
    <row r="22" ht="15" customHeight="1">
      <c r="B22" s="21" t="inlineStr">
        <is>
          <t>Conventions used in this workbook</t>
        </is>
      </c>
    </row>
    <row r="23" ht="15" customHeight="1">
      <c r="B23" s="20" t="inlineStr">
        <is>
          <t>Yellow fill = example row / cells you should edit or replace with your own data.</t>
        </is>
      </c>
    </row>
    <row r="24" ht="15" customHeight="1">
      <c r="B24" s="20" t="inlineStr">
        <is>
          <t>White/grey rows = your data entry rows (add as many as needed).</t>
        </is>
      </c>
    </row>
    <row r="25" ht="15" customHeight="1">
      <c r="B25" s="20" t="inlineStr">
        <is>
          <t>Dashboard values and charts = auto-calculated, formula-driven — do not overwrite.</t>
        </is>
      </c>
    </row>
  </sheetData>
  <mergeCells count="21">
    <mergeCell ref="B7:I7"/>
    <mergeCell ref="B25:I25"/>
    <mergeCell ref="B16:I16"/>
    <mergeCell ref="B22:I22"/>
    <mergeCell ref="B12:I12"/>
    <mergeCell ref="B18:I18"/>
    <mergeCell ref="B21:I21"/>
    <mergeCell ref="B11:I11"/>
    <mergeCell ref="B14:I14"/>
    <mergeCell ref="B23:I23"/>
    <mergeCell ref="B8:I8"/>
    <mergeCell ref="B17:I17"/>
    <mergeCell ref="B13:I13"/>
    <mergeCell ref="B10:I10"/>
    <mergeCell ref="B19:I19"/>
    <mergeCell ref="B9:I9"/>
    <mergeCell ref="B15:I15"/>
    <mergeCell ref="B6:I6"/>
    <mergeCell ref="B24:I24"/>
    <mergeCell ref="B20:I20"/>
    <mergeCell ref="B5:I5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"/>
  <sheetViews>
    <sheetView showGridLines="0" tabSelected="1" topLeftCell="C1" zoomScale="120" zoomScaleNormal="120" workbookViewId="0">
      <pane ySplit="4" topLeftCell="A5" activePane="bottomLeft" state="frozen"/>
      <selection pane="bottomLeft" activeCell="C5" sqref="C5"/>
    </sheetView>
  </sheetViews>
  <sheetFormatPr baseColWidth="8" defaultColWidth="8.6640625" defaultRowHeight="14.4"/>
  <cols>
    <col width="9" customWidth="1" min="1" max="1"/>
    <col width="20" customWidth="1" min="2" max="2"/>
    <col width="34" customWidth="1" min="3" max="3"/>
    <col width="13" customWidth="1" min="4" max="4"/>
    <col width="10" customWidth="1" min="5" max="5"/>
    <col width="13" customWidth="1" min="6" max="8"/>
    <col width="10" customWidth="1" min="9" max="10"/>
    <col width="11" customWidth="1" min="11" max="11"/>
    <col width="30" customWidth="1" min="12" max="12"/>
    <col width="13" customWidth="1" min="13" max="13"/>
  </cols>
  <sheetData>
    <row r="1" ht="21" customHeight="1">
      <c r="A1" s="22" t="inlineStr">
        <is>
          <t>Case Study Task Tracker</t>
        </is>
      </c>
    </row>
    <row r="2">
      <c r="A2" s="23" t="inlineStr">
        <is>
          <t>Updated vehicle-registration project tracker for 02–05 October 2026. Task fields follow the Case Study Project Tracker format.</t>
        </is>
      </c>
    </row>
    <row r="4" ht="30" customHeight="1">
      <c r="A4" s="4" t="inlineStr">
        <is>
          <t>Task ID</t>
        </is>
      </c>
      <c r="B4" s="4" t="inlineStr">
        <is>
          <t>Module / Feature</t>
        </is>
      </c>
      <c r="C4" s="4" t="inlineStr">
        <is>
          <t>Task Description</t>
        </is>
      </c>
      <c r="D4" s="4" t="inlineStr">
        <is>
          <t>Assigned To</t>
        </is>
      </c>
      <c r="E4" s="4" t="inlineStr">
        <is>
          <t>Priority</t>
        </is>
      </c>
      <c r="F4" s="4" t="inlineStr">
        <is>
          <t>Status</t>
        </is>
      </c>
      <c r="G4" s="4" t="inlineStr">
        <is>
          <t>Start Date</t>
        </is>
      </c>
      <c r="H4" s="4" t="inlineStr">
        <is>
          <t>Due Date</t>
        </is>
      </c>
      <c r="I4" s="4" t="inlineStr">
        <is>
          <t>Est. Hours</t>
        </is>
      </c>
      <c r="J4" s="4" t="inlineStr">
        <is>
          <t>Hours Spent</t>
        </is>
      </c>
      <c r="K4" s="4" t="inlineStr">
        <is>
          <t>% Complete</t>
        </is>
      </c>
      <c r="L4" s="4" t="inlineStr">
        <is>
          <t>Remarks / Blockers</t>
        </is>
      </c>
      <c r="M4" s="4" t="inlineStr">
        <is>
          <t>Last Updated</t>
        </is>
      </c>
    </row>
    <row r="5" ht="52.8" customHeight="1">
      <c r="A5" s="5" t="inlineStr">
        <is>
          <t>T-001</t>
        </is>
      </c>
      <c r="B5" s="6" t="inlineStr">
        <is>
          <t>Backend Entities &amp; Repositories</t>
        </is>
      </c>
      <c r="C5" s="6" t="inlineStr">
        <is>
          <t>Implemented JPA entities for the vehicle-registration domain and repositories for database persistence and lookup queries.</t>
        </is>
      </c>
      <c r="D5" s="5" t="inlineStr">
        <is>
          <t>Sadhna Gupta</t>
        </is>
      </c>
      <c r="E5" s="5" t="inlineStr">
        <is>
          <t>High</t>
        </is>
      </c>
      <c r="F5" s="5" t="inlineStr">
        <is>
          <t>Completed</t>
        </is>
      </c>
      <c r="G5" s="24" t="n">
        <v>46297</v>
      </c>
      <c r="H5" s="24" t="n">
        <v>46300</v>
      </c>
      <c r="I5" s="5" t="n">
        <v>16</v>
      </c>
      <c r="J5" s="5" t="n">
        <v>16</v>
      </c>
      <c r="K5" s="25" t="n">
        <v>100</v>
      </c>
      <c r="L5" s="6" t="inlineStr">
        <is>
          <t>Completed as part of the backend implementation; existing database structure used.</t>
        </is>
      </c>
      <c r="M5" s="24" t="inlineStr">
        <is>
          <t>2026-10-05</t>
        </is>
      </c>
    </row>
    <row r="6" ht="26.4" customHeight="1">
      <c r="A6" s="5" t="inlineStr">
        <is>
          <t>T-002</t>
        </is>
      </c>
      <c r="B6" s="6" t="inlineStr">
        <is>
          <t>Backend Controllers &amp; Validation</t>
        </is>
      </c>
      <c r="C6" s="6" t="inlineStr">
        <is>
          <t>Implemented REST controllers, request validation and CORS for vehicle, registration certificate, application, administration, authentication, payment and fee-rule operations.</t>
        </is>
      </c>
      <c r="D6" s="5" t="inlineStr">
        <is>
          <t>Sadhna Gupta &amp; Dharmendra</t>
        </is>
      </c>
      <c r="E6" s="5" t="inlineStr">
        <is>
          <t>High</t>
        </is>
      </c>
      <c r="F6" s="5" t="inlineStr">
        <is>
          <t>Completed</t>
        </is>
      </c>
      <c r="G6" s="24" t="n">
        <v>46297</v>
      </c>
      <c r="H6" s="24" t="n">
        <v>46300</v>
      </c>
      <c r="I6" s="5" t="n">
        <v>10</v>
      </c>
      <c r="J6" s="5" t="n">
        <v>10</v>
      </c>
      <c r="K6" s="25" t="n">
        <v>100</v>
      </c>
      <c r="L6" s="6" t="inlineStr">
        <is>
          <t>Controllers completed and integrated with the service layer.</t>
        </is>
      </c>
      <c r="M6" s="24" t="inlineStr">
        <is>
          <t>2026-10-05</t>
        </is>
      </c>
    </row>
    <row r="7" ht="26.4" customHeight="1">
      <c r="A7" s="5" t="inlineStr">
        <is>
          <t>T-003</t>
        </is>
      </c>
      <c r="B7" s="6" t="inlineStr">
        <is>
          <t>Backend Exceptions &amp; Error Handling</t>
        </is>
      </c>
      <c r="C7" s="6" t="inlineStr">
        <is>
          <t>Implemented business exceptions, API error handling and global exception responses for registration, payment, owner, employee and request-validation scenarios.</t>
        </is>
      </c>
      <c r="D7" s="5" t="inlineStr">
        <is>
          <t>Sadhna Gupta &amp; Dharmendra</t>
        </is>
      </c>
      <c r="E7" s="5" t="inlineStr">
        <is>
          <t>High</t>
        </is>
      </c>
      <c r="F7" s="5" t="inlineStr">
        <is>
          <t>Completed</t>
        </is>
      </c>
      <c r="G7" s="24" t="n">
        <v>46297</v>
      </c>
      <c r="H7" s="24" t="n">
        <v>46300</v>
      </c>
      <c r="I7" s="5" t="n">
        <v>8</v>
      </c>
      <c r="J7" s="5" t="n">
        <v>8</v>
      </c>
      <c r="K7" s="25" t="n">
        <v>100</v>
      </c>
      <c r="L7" s="6" t="inlineStr">
        <is>
          <t>Exception handling completed for the project workflow.</t>
        </is>
      </c>
      <c r="M7" s="24" t="inlineStr">
        <is>
          <t>2026-10-05</t>
        </is>
      </c>
    </row>
    <row r="8" ht="51.6" customHeight="1">
      <c r="A8" s="5" t="inlineStr">
        <is>
          <t>T-004</t>
        </is>
      </c>
      <c r="B8" s="6" t="inlineStr">
        <is>
          <t>Request &amp; Response DTOs</t>
        </is>
      </c>
      <c r="C8" s="6" t="inlineStr">
        <is>
          <t>Implemented request and response DTOs for owner, employee, application, vehicle, payment, fee-rule, audit and registration-certificate data.</t>
        </is>
      </c>
      <c r="D8" s="5" t="inlineStr">
        <is>
          <t>Dharmendra &amp; Yogesh</t>
        </is>
      </c>
      <c r="E8" s="5" t="inlineStr">
        <is>
          <t>High</t>
        </is>
      </c>
      <c r="F8" s="5" t="inlineStr">
        <is>
          <t>Completed</t>
        </is>
      </c>
      <c r="G8" s="24" t="n">
        <v>46297</v>
      </c>
      <c r="H8" s="24" t="n">
        <v>46300</v>
      </c>
      <c r="I8" s="5" t="n">
        <v>10</v>
      </c>
      <c r="J8" s="5" t="n">
        <v>10</v>
      </c>
      <c r="K8" s="25" t="n">
        <v>100</v>
      </c>
      <c r="L8" s="6" t="inlineStr">
        <is>
          <t>DTO layer completed and aligned with controller/service data flow.</t>
        </is>
      </c>
      <c r="M8" s="24" t="inlineStr">
        <is>
          <t>2026-10-05</t>
        </is>
      </c>
    </row>
    <row r="9" ht="39.6" customHeight="1">
      <c r="A9" s="5" t="inlineStr">
        <is>
          <t>T-005</t>
        </is>
      </c>
      <c r="B9" s="6" t="inlineStr">
        <is>
          <t>Backend Enums &amp; Utilities</t>
        </is>
      </c>
      <c r="C9" s="6" t="inlineStr">
        <is>
          <t>Implemented backend enums for account, application, fuel, identity proof, inspection, payment, employee and vehicle workflow values, plus password utility support.</t>
        </is>
      </c>
      <c r="D9" s="5" t="inlineStr">
        <is>
          <t>Dharmendra</t>
        </is>
      </c>
      <c r="E9" s="5" t="inlineStr">
        <is>
          <t>Medium</t>
        </is>
      </c>
      <c r="F9" s="5" t="inlineStr">
        <is>
          <t>Completed</t>
        </is>
      </c>
      <c r="G9" s="24" t="n">
        <v>46297</v>
      </c>
      <c r="H9" s="24" t="n">
        <v>46300</v>
      </c>
      <c r="I9" s="5" t="n">
        <v>6</v>
      </c>
      <c r="J9" s="5" t="n">
        <v>6</v>
      </c>
      <c r="K9" s="25" t="n">
        <v>100</v>
      </c>
      <c r="L9" s="6" t="inlineStr">
        <is>
          <t>Enums and password utility completed.</t>
        </is>
      </c>
      <c r="M9" s="24" t="inlineStr">
        <is>
          <t>2026-10-05</t>
        </is>
      </c>
    </row>
    <row r="10" ht="39.6" customHeight="1">
      <c r="A10" s="5" t="inlineStr">
        <is>
          <t>T-006</t>
        </is>
      </c>
      <c r="B10" s="6" t="inlineStr">
        <is>
          <t>Backend Service Interfaces</t>
        </is>
      </c>
      <c r="C10" s="6" t="inlineStr">
        <is>
          <t>Implemented service contracts for authentication, employee management, audit, registration submission, application review/query, payments, fee rules and reporting.</t>
        </is>
      </c>
      <c r="D10" s="5" t="inlineStr">
        <is>
          <t>Sadhna Gupta &amp; Dharmendra</t>
        </is>
      </c>
      <c r="E10" s="5" t="inlineStr">
        <is>
          <t>High</t>
        </is>
      </c>
      <c r="F10" s="5" t="inlineStr">
        <is>
          <t>Completed</t>
        </is>
      </c>
      <c r="G10" s="24" t="n">
        <v>46297</v>
      </c>
      <c r="H10" s="24" t="n">
        <v>46300</v>
      </c>
      <c r="I10" s="5" t="n">
        <v>8</v>
      </c>
      <c r="J10" s="5" t="n">
        <v>8</v>
      </c>
      <c r="K10" s="25" t="n">
        <v>100</v>
      </c>
      <c r="L10" s="6" t="inlineStr">
        <is>
          <t>Service interfaces completed for the project modules.</t>
        </is>
      </c>
      <c r="M10" s="24" t="inlineStr">
        <is>
          <t>2026-10-05</t>
        </is>
      </c>
    </row>
    <row r="11" ht="26.4" customHeight="1">
      <c r="A11" s="5" t="inlineStr">
        <is>
          <t>T-007</t>
        </is>
      </c>
      <c r="B11" s="6" t="inlineStr">
        <is>
          <t>Backend Service Implementations</t>
        </is>
      </c>
      <c r="C11" s="6" t="inlineStr">
        <is>
          <t>Implemented business logic for registration submission, reference tracking, corrections, payment, verification, inspection, RC generation, fees, reports, authentication, employee and account management.</t>
        </is>
      </c>
      <c r="D11" s="5" t="inlineStr">
        <is>
          <t>Sadhna Gupta &amp; Dharmendra</t>
        </is>
      </c>
      <c r="E11" s="5" t="inlineStr">
        <is>
          <t>High</t>
        </is>
      </c>
      <c r="F11" s="5" t="inlineStr">
        <is>
          <t>Completed</t>
        </is>
      </c>
      <c r="G11" s="24" t="n">
        <v>46297</v>
      </c>
      <c r="H11" s="24" t="n">
        <v>46300</v>
      </c>
      <c r="I11" s="5" t="n">
        <v>16</v>
      </c>
      <c r="J11" s="5" t="n">
        <v>16</v>
      </c>
      <c r="K11" s="25" t="n">
        <v>100</v>
      </c>
      <c r="L11" s="6" t="inlineStr">
        <is>
          <t>Service implementations completed and tested with the application workflow.</t>
        </is>
      </c>
      <c r="M11" s="24" t="inlineStr">
        <is>
          <t>2026-10-05</t>
        </is>
      </c>
    </row>
    <row r="12" ht="39.6" customHeight="1">
      <c r="A12" s="5" t="inlineStr">
        <is>
          <t>T-008</t>
        </is>
      </c>
      <c r="B12" s="6" t="inlineStr">
        <is>
          <t>Frontend Application &amp; API Integration</t>
        </is>
      </c>
      <c r="C12" s="6" t="inlineStr">
        <is>
          <t>Implemented React application entry/navigation, API client, Bootstrap/CSS integration, development setup and registration-data loading.</t>
        </is>
      </c>
      <c r="D12" s="5" t="inlineStr">
        <is>
          <t>Sadhna Gupta &amp; Dharmendra &amp; Yogesh</t>
        </is>
      </c>
      <c r="E12" s="5" t="inlineStr">
        <is>
          <t>High</t>
        </is>
      </c>
      <c r="F12" s="5" t="inlineStr">
        <is>
          <t>Completed</t>
        </is>
      </c>
      <c r="G12" s="24" t="n">
        <v>46297</v>
      </c>
      <c r="H12" s="24" t="n">
        <v>46300</v>
      </c>
      <c r="I12" s="5" t="n">
        <v>10</v>
      </c>
      <c r="J12" s="5" t="n">
        <v>10</v>
      </c>
      <c r="K12" s="25" t="n">
        <v>100</v>
      </c>
      <c r="L12" s="6" t="inlineStr">
        <is>
          <t>Frontend application and API integration completed.</t>
        </is>
      </c>
      <c r="M12" s="24" t="inlineStr">
        <is>
          <t>2026-10-05</t>
        </is>
      </c>
    </row>
    <row r="13" ht="52.8" customHeight="1">
      <c r="A13" s="5" t="inlineStr">
        <is>
          <t>T-009</t>
        </is>
      </c>
      <c r="B13" s="6" t="inlineStr">
        <is>
          <t>Frontend Registration &amp; Authentication Components</t>
        </is>
      </c>
      <c r="C13" s="6" t="inlineStr">
        <is>
          <t>Implemented owner registration/login, employee login, owner forms, vehicle form, new registration, applications, vehicles and related frontend screens.</t>
        </is>
      </c>
      <c r="D13" s="5" t="inlineStr">
        <is>
          <t>Sadhna Gupta &amp; Dharmendra</t>
        </is>
      </c>
      <c r="E13" s="5" t="inlineStr">
        <is>
          <t>High</t>
        </is>
      </c>
      <c r="F13" s="5" t="inlineStr">
        <is>
          <t>Completed</t>
        </is>
      </c>
      <c r="G13" s="24" t="n">
        <v>46297</v>
      </c>
      <c r="H13" s="24" t="n">
        <v>46300</v>
      </c>
      <c r="I13" s="5" t="n">
        <v>12</v>
      </c>
      <c r="J13" s="5" t="n">
        <v>12</v>
      </c>
      <c r="K13" s="25" t="n">
        <v>100</v>
      </c>
      <c r="L13" s="6" t="inlineStr">
        <is>
          <t>Core frontend components completed for registration and authentication flows.</t>
        </is>
      </c>
      <c r="M13" s="24" t="inlineStr">
        <is>
          <t>2026-10-05</t>
        </is>
      </c>
    </row>
    <row r="14" ht="39.6" customHeight="1">
      <c r="A14" s="5" t="inlineStr">
        <is>
          <t>T-010</t>
        </is>
      </c>
      <c r="B14" s="6" t="inlineStr">
        <is>
          <t>Frontend Administration &amp; Fee Components</t>
        </is>
      </c>
      <c r="C14" s="6" t="inlineStr">
        <is>
          <t>Implemented employee/account administration screen and registration fee display components.</t>
        </is>
      </c>
      <c r="D14" s="5" t="inlineStr">
        <is>
          <t>Yogesh</t>
        </is>
      </c>
      <c r="E14" s="5" t="inlineStr">
        <is>
          <t>Medium</t>
        </is>
      </c>
      <c r="F14" s="5" t="inlineStr">
        <is>
          <t>Completed</t>
        </is>
      </c>
      <c r="G14" s="24" t="n">
        <v>46298</v>
      </c>
      <c r="H14" s="24" t="n">
        <v>46300</v>
      </c>
      <c r="I14" s="5" t="n">
        <v>4</v>
      </c>
      <c r="J14" s="5" t="n">
        <v>4</v>
      </c>
      <c r="K14" s="25" t="n">
        <v>100</v>
      </c>
      <c r="L14" s="6" t="inlineStr">
        <is>
          <t>Administration and fee display components completed.</t>
        </is>
      </c>
      <c r="M14" s="24" t="inlineStr">
        <is>
          <t>2026-10-05</t>
        </is>
      </c>
    </row>
    <row r="15" ht="26.4" customHeight="1">
      <c r="A15" s="5" t="inlineStr">
        <is>
          <t>T-011</t>
        </is>
      </c>
      <c r="B15" s="6" t="inlineStr">
        <is>
          <t>Application Status &amp; Workflow Display</t>
        </is>
      </c>
      <c r="C15" s="6" t="inlineStr">
        <is>
          <t>Implemented application status badges and workflow progress steps for frontend display.</t>
        </is>
      </c>
      <c r="D15" s="5" t="inlineStr">
        <is>
          <t>Durga Prasad</t>
        </is>
      </c>
      <c r="E15" s="5" t="inlineStr">
        <is>
          <t>Medium</t>
        </is>
      </c>
      <c r="F15" s="5" t="inlineStr">
        <is>
          <t>Completed</t>
        </is>
      </c>
      <c r="G15" s="24" t="n">
        <v>46300</v>
      </c>
      <c r="H15" s="24" t="n">
        <v>46300</v>
      </c>
      <c r="I15" s="5" t="n">
        <v>3</v>
      </c>
      <c r="J15" s="5" t="n">
        <v>3</v>
      </c>
      <c r="K15" s="25" t="n">
        <v>100</v>
      </c>
      <c r="L15" s="6" t="inlineStr">
        <is>
          <t>Small frontend workflow-display work completed.</t>
        </is>
      </c>
      <c r="M15" s="24" t="inlineStr">
        <is>
          <t>2026-10-05</t>
        </is>
      </c>
    </row>
    <row r="16" ht="52.8" customHeight="1">
      <c r="A16" s="5" t="inlineStr">
        <is>
          <t>T-012</t>
        </is>
      </c>
      <c r="B16" s="6" t="inlineStr">
        <is>
          <t>Backend Setup &amp; Testing</t>
        </is>
      </c>
      <c r="C16" s="6" t="inlineStr">
        <is>
          <t>Configured Spring Boot application startup, MySQL/JPA settings and Maven dependencies; completed 17 passing JUnit API tests covering validation and new-registration RC generation.</t>
        </is>
      </c>
      <c r="D16" s="5" t="inlineStr">
        <is>
          <t>Sadhna Gupta</t>
        </is>
      </c>
      <c r="E16" s="5" t="inlineStr">
        <is>
          <t>High</t>
        </is>
      </c>
      <c r="F16" s="5" t="inlineStr">
        <is>
          <t>Completed</t>
        </is>
      </c>
      <c r="G16" s="24" t="n">
        <v>46299</v>
      </c>
      <c r="H16" s="24" t="n">
        <v>46300</v>
      </c>
      <c r="I16" s="5" t="n">
        <v>8</v>
      </c>
      <c r="J16" s="5" t="n">
        <v>8</v>
      </c>
      <c r="K16" s="25" t="n">
        <v>100</v>
      </c>
      <c r="L16" s="6" t="inlineStr">
        <is>
          <t>Backend setup and API tests completed successfully.</t>
        </is>
      </c>
      <c r="M16" s="24" t="inlineStr">
        <is>
          <t>2026-10-05</t>
        </is>
      </c>
    </row>
    <row r="17">
      <c r="A17" s="5" t="n"/>
      <c r="B17" s="6" t="n"/>
      <c r="C17" s="6" t="n"/>
      <c r="D17" s="5" t="n"/>
      <c r="E17" s="5" t="n"/>
      <c r="F17" s="5" t="n"/>
      <c r="G17" s="7" t="n"/>
      <c r="H17" s="7" t="n"/>
      <c r="I17" s="5" t="n"/>
      <c r="J17" s="5" t="n"/>
      <c r="K17" s="5" t="n"/>
      <c r="L17" s="6" t="n"/>
      <c r="M17" s="7" t="n"/>
    </row>
    <row r="18">
      <c r="A18" s="5" t="n"/>
      <c r="B18" s="6" t="n"/>
      <c r="C18" s="6" t="n"/>
      <c r="D18" s="5" t="n"/>
      <c r="E18" s="5" t="n"/>
      <c r="F18" s="5" t="n"/>
      <c r="G18" s="7" t="n"/>
      <c r="H18" s="7" t="n"/>
      <c r="I18" s="5" t="n"/>
      <c r="J18" s="5" t="n"/>
      <c r="K18" s="5" t="n"/>
      <c r="L18" s="6" t="n"/>
      <c r="M18" s="7" t="n"/>
    </row>
    <row r="19">
      <c r="A19" s="5" t="n"/>
      <c r="B19" s="6" t="n"/>
      <c r="C19" s="6" t="n"/>
      <c r="D19" s="5" t="n"/>
      <c r="E19" s="5" t="n"/>
      <c r="F19" s="5" t="n"/>
      <c r="G19" s="7" t="n"/>
      <c r="H19" s="7" t="n"/>
      <c r="I19" s="5" t="n"/>
      <c r="J19" s="5" t="n"/>
      <c r="K19" s="5" t="n"/>
      <c r="L19" s="6" t="n"/>
      <c r="M19" s="7" t="n"/>
    </row>
    <row r="20">
      <c r="A20" s="5" t="n"/>
      <c r="B20" s="6" t="n"/>
      <c r="C20" s="6" t="n"/>
      <c r="D20" s="5" t="n"/>
      <c r="E20" s="5" t="n"/>
      <c r="F20" s="5" t="n"/>
      <c r="G20" s="7" t="n"/>
      <c r="H20" s="7" t="n"/>
      <c r="I20" s="5" t="n"/>
      <c r="J20" s="5" t="n"/>
      <c r="K20" s="5" t="n"/>
      <c r="L20" s="6" t="n"/>
      <c r="M20" s="7" t="n"/>
    </row>
    <row r="21">
      <c r="A21" s="5" t="n"/>
      <c r="B21" s="6" t="n"/>
      <c r="C21" s="6" t="n"/>
      <c r="D21" s="5" t="n"/>
      <c r="E21" s="5" t="n"/>
      <c r="F21" s="5" t="n"/>
      <c r="G21" s="7" t="n"/>
      <c r="H21" s="7" t="n"/>
      <c r="I21" s="5" t="n"/>
      <c r="J21" s="5" t="n"/>
      <c r="K21" s="5" t="n"/>
      <c r="L21" s="6" t="n"/>
      <c r="M21" s="7" t="n"/>
    </row>
    <row r="22">
      <c r="A22" s="8" t="n"/>
      <c r="B22" s="9" t="n"/>
      <c r="C22" s="9" t="n"/>
      <c r="D22" s="8" t="n"/>
      <c r="E22" s="8" t="n"/>
      <c r="F22" s="8" t="n"/>
      <c r="G22" s="10" t="n"/>
      <c r="H22" s="10" t="n"/>
      <c r="I22" s="8" t="n"/>
      <c r="J22" s="8" t="n"/>
      <c r="K22" s="8" t="n"/>
      <c r="L22" s="9" t="n"/>
      <c r="M22" s="10" t="n"/>
    </row>
    <row r="23">
      <c r="A23" s="11" t="n"/>
      <c r="B23" s="12" t="n"/>
      <c r="C23" s="12" t="n"/>
      <c r="D23" s="11" t="n"/>
      <c r="E23" s="11" t="n"/>
      <c r="F23" s="11" t="n"/>
      <c r="G23" s="13" t="n"/>
      <c r="H23" s="13" t="n"/>
      <c r="I23" s="11" t="n"/>
      <c r="J23" s="11" t="n"/>
      <c r="K23" s="11" t="n"/>
      <c r="L23" s="12" t="n"/>
      <c r="M23" s="13" t="n"/>
    </row>
    <row r="24">
      <c r="A24" s="8" t="n"/>
      <c r="B24" s="9" t="n"/>
      <c r="C24" s="9" t="n"/>
      <c r="D24" s="8" t="n"/>
      <c r="E24" s="8" t="n"/>
      <c r="F24" s="8" t="n"/>
      <c r="G24" s="10" t="n"/>
      <c r="H24" s="10" t="n"/>
      <c r="I24" s="8" t="n"/>
      <c r="J24" s="8" t="n"/>
      <c r="K24" s="8" t="n"/>
      <c r="L24" s="9" t="n"/>
      <c r="M24" s="10" t="n"/>
    </row>
    <row r="25">
      <c r="A25" s="11" t="n"/>
      <c r="B25" s="12" t="n"/>
      <c r="C25" s="12" t="n"/>
      <c r="D25" s="11" t="n"/>
      <c r="E25" s="11" t="n"/>
      <c r="F25" s="11" t="n"/>
      <c r="G25" s="13" t="n"/>
      <c r="H25" s="13" t="n"/>
      <c r="I25" s="11" t="n"/>
      <c r="J25" s="11" t="n"/>
      <c r="K25" s="11" t="n"/>
      <c r="L25" s="12" t="n"/>
      <c r="M25" s="13" t="n"/>
    </row>
    <row r="26">
      <c r="A26" s="8" t="n"/>
      <c r="B26" s="9" t="n"/>
      <c r="C26" s="9" t="n"/>
      <c r="D26" s="8" t="n"/>
      <c r="E26" s="8" t="n"/>
      <c r="F26" s="8" t="n"/>
      <c r="G26" s="10" t="n"/>
      <c r="H26" s="10" t="n"/>
      <c r="I26" s="8" t="n"/>
      <c r="J26" s="8" t="n"/>
      <c r="K26" s="8" t="n"/>
      <c r="L26" s="9" t="n"/>
      <c r="M26" s="10" t="n"/>
    </row>
    <row r="27">
      <c r="A27" s="11" t="n"/>
      <c r="B27" s="12" t="n"/>
      <c r="C27" s="12" t="n"/>
      <c r="D27" s="11" t="n"/>
      <c r="E27" s="11" t="n"/>
      <c r="F27" s="11" t="n"/>
      <c r="G27" s="13" t="n"/>
      <c r="H27" s="13" t="n"/>
      <c r="I27" s="11" t="n"/>
      <c r="J27" s="11" t="n"/>
      <c r="K27" s="11" t="n"/>
      <c r="L27" s="12" t="n"/>
      <c r="M27" s="13" t="n"/>
    </row>
    <row r="28">
      <c r="A28" s="8" t="n"/>
      <c r="B28" s="9" t="n"/>
      <c r="C28" s="9" t="n"/>
      <c r="D28" s="8" t="n"/>
      <c r="E28" s="8" t="n"/>
      <c r="F28" s="8" t="n"/>
      <c r="G28" s="10" t="n"/>
      <c r="H28" s="10" t="n"/>
      <c r="I28" s="8" t="n"/>
      <c r="J28" s="8" t="n"/>
      <c r="K28" s="8" t="n"/>
      <c r="L28" s="9" t="n"/>
      <c r="M28" s="10" t="n"/>
    </row>
    <row r="29">
      <c r="A29" s="11" t="n"/>
      <c r="B29" s="12" t="n"/>
      <c r="C29" s="12" t="n"/>
      <c r="D29" s="11" t="n"/>
      <c r="E29" s="11" t="n"/>
      <c r="F29" s="11" t="n"/>
      <c r="G29" s="13" t="n"/>
      <c r="H29" s="13" t="n"/>
      <c r="I29" s="11" t="n"/>
      <c r="J29" s="11" t="n"/>
      <c r="K29" s="11" t="n"/>
      <c r="L29" s="12" t="n"/>
      <c r="M29" s="13" t="n"/>
    </row>
    <row r="30">
      <c r="A30" s="8" t="n"/>
      <c r="B30" s="9" t="n"/>
      <c r="C30" s="9" t="n"/>
      <c r="D30" s="8" t="n"/>
      <c r="E30" s="8" t="n"/>
      <c r="F30" s="8" t="n"/>
      <c r="G30" s="10" t="n"/>
      <c r="H30" s="10" t="n"/>
      <c r="I30" s="8" t="n"/>
      <c r="J30" s="8" t="n"/>
      <c r="K30" s="8" t="n"/>
      <c r="L30" s="9" t="n"/>
      <c r="M30" s="10" t="n"/>
    </row>
    <row r="31">
      <c r="A31" s="11" t="n"/>
      <c r="B31" s="12" t="n"/>
      <c r="C31" s="12" t="n"/>
      <c r="D31" s="11" t="n"/>
      <c r="E31" s="11" t="n"/>
      <c r="F31" s="11" t="n"/>
      <c r="G31" s="13" t="n"/>
      <c r="H31" s="13" t="n"/>
      <c r="I31" s="11" t="n"/>
      <c r="J31" s="11" t="n"/>
      <c r="K31" s="11" t="n"/>
      <c r="L31" s="12" t="n"/>
      <c r="M31" s="13" t="n"/>
    </row>
    <row r="32">
      <c r="A32" s="8" t="n"/>
      <c r="B32" s="9" t="n"/>
      <c r="C32" s="9" t="n"/>
      <c r="D32" s="8" t="n"/>
      <c r="E32" s="8" t="n"/>
      <c r="F32" s="8" t="n"/>
      <c r="G32" s="10" t="n"/>
      <c r="H32" s="10" t="n"/>
      <c r="I32" s="8" t="n"/>
      <c r="J32" s="8" t="n"/>
      <c r="K32" s="8" t="n"/>
      <c r="L32" s="9" t="n"/>
      <c r="M32" s="10" t="n"/>
    </row>
  </sheetData>
  <mergeCells count="2">
    <mergeCell ref="A2:M2"/>
    <mergeCell ref="A1:M1"/>
  </mergeCells>
  <conditionalFormatting sqref="F5:F32">
    <cfRule type="cellIs" priority="2" operator="equal" dxfId="4">
      <formula>"Completed"</formula>
    </cfRule>
    <cfRule type="cellIs" priority="3" operator="equal" dxfId="3">
      <formula>"Blocked"</formula>
    </cfRule>
    <cfRule type="cellIs" priority="4" operator="equal" dxfId="2">
      <formula>"In Progress"</formula>
    </cfRule>
    <cfRule type="cellIs" priority="5" operator="equal" dxfId="1">
      <formula>"In Review"</formula>
    </cfRule>
    <cfRule type="cellIs" priority="6" operator="equal" dxfId="0">
      <formula>"Not Started"</formula>
    </cfRule>
  </conditionalFormatting>
  <conditionalFormatting sqref="K5:K32">
    <cfRule type="colorScale" priority="7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dataValidations count="3">
    <dataValidation sqref="E5:E32" showDropDown="0" showInputMessage="0" showErrorMessage="0" allowBlank="1" type="list">
      <formula1>"High,Medium,Low"</formula1>
      <formula2>0</formula2>
    </dataValidation>
    <dataValidation sqref="F5:F32" showDropDown="0" showInputMessage="0" showErrorMessage="0" allowBlank="1" type="list">
      <formula1>"Not Started,In Progress,Blocked,In Review,Completed"</formula1>
      <formula2>0</formula2>
    </dataValidation>
    <dataValidation sqref="K5:K32" showDropDown="0" showInputMessage="0" showErrorMessage="1" allowBlank="1" errorTitle="Invalid %" error="Enter a whole number between 0 and 100." type="whole">
      <formula1>0</formula1>
      <formula2>100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zoomScale="120" zoomScaleNormal="120" workbookViewId="0">
      <pane ySplit="4" topLeftCell="A5" activePane="bottomLeft" state="frozen"/>
      <selection pane="bottomLeft" activeCell="H5" sqref="H5"/>
    </sheetView>
  </sheetViews>
  <sheetFormatPr baseColWidth="8" defaultColWidth="8.6640625" defaultRowHeight="14.4"/>
  <cols>
    <col width="13" customWidth="1" min="1" max="1"/>
    <col width="18" customWidth="1" min="2" max="2"/>
    <col width="10" customWidth="1" min="3" max="3"/>
    <col width="36" customWidth="1" min="4" max="4"/>
    <col width="11" customWidth="1" min="5" max="5"/>
    <col width="13" customWidth="1" min="6" max="6"/>
    <col width="26" customWidth="1" min="7" max="8"/>
  </cols>
  <sheetData>
    <row r="1" ht="21" customHeight="1">
      <c r="A1" s="22" t="inlineStr">
        <is>
          <t>Daily Work Log</t>
        </is>
      </c>
    </row>
    <row r="2">
      <c r="A2" s="23" t="inlineStr">
        <is>
          <t>Fill one row per person per working day — like a daily standup update.</t>
        </is>
      </c>
    </row>
    <row r="4" ht="27.75" customHeight="1">
      <c r="A4" s="4" t="inlineStr">
        <is>
          <t>Date</t>
        </is>
      </c>
      <c r="B4" s="4" t="inlineStr">
        <is>
          <t>Participant Name</t>
        </is>
      </c>
      <c r="C4" s="4" t="inlineStr">
        <is>
          <t>Task ID</t>
        </is>
      </c>
      <c r="D4" s="4" t="inlineStr">
        <is>
          <t>Work Done Today</t>
        </is>
      </c>
      <c r="E4" s="4" t="inlineStr">
        <is>
          <t>Hours Spent</t>
        </is>
      </c>
      <c r="F4" s="4" t="inlineStr">
        <is>
          <t>Status</t>
        </is>
      </c>
      <c r="G4" s="4" t="inlineStr">
        <is>
          <t>Blockers / Issues</t>
        </is>
      </c>
      <c r="H4" s="4" t="inlineStr">
        <is>
          <t>Plan for Tomorrow</t>
        </is>
      </c>
    </row>
    <row r="5" ht="92.40000000000001" customHeight="1">
      <c r="A5" s="7" t="n">
        <v>46297</v>
      </c>
      <c r="B5" s="5" t="inlineStr">
        <is>
          <t>Sadhna Gupta &amp; Dharmendra</t>
        </is>
      </c>
      <c r="C5" s="5" t="inlineStr">
        <is>
          <t>T-001/T-002/T-003</t>
        </is>
      </c>
      <c r="D5" s="6" t="inlineStr">
        <is>
          <t>Worked on backend entities, repositories, controllers, validation and exception handling for the vehicle-registration workflow.</t>
        </is>
      </c>
      <c r="E5" s="5" t="n">
        <v>8</v>
      </c>
      <c r="F5" s="5" t="inlineStr">
        <is>
          <t>completed</t>
        </is>
      </c>
      <c r="G5" s="6" t="inlineStr">
        <is>
          <t>None</t>
        </is>
      </c>
      <c r="H5" s="6" t="inlineStr">
        <is>
          <t>Continue DTOs and service interfaces.</t>
        </is>
      </c>
    </row>
    <row r="6">
      <c r="A6" s="7" t="n">
        <v>46298</v>
      </c>
      <c r="B6" s="5" t="inlineStr">
        <is>
          <t>Dharmendra &amp; Yogesh</t>
        </is>
      </c>
      <c r="C6" s="5" t="inlineStr">
        <is>
          <t>T-004/T-005/T-006</t>
        </is>
      </c>
      <c r="D6" s="6" t="inlineStr">
        <is>
          <t>Completed request/response DTOs, backend enums, utilities and service interfaces; continued frontend setup and components.</t>
        </is>
      </c>
      <c r="E6" s="5" t="n">
        <v>8</v>
      </c>
      <c r="F6" s="5" t="inlineStr">
        <is>
          <t>completed</t>
        </is>
      </c>
      <c r="G6" s="6" t="inlineStr">
        <is>
          <t>None</t>
        </is>
      </c>
      <c r="H6" s="6" t="inlineStr">
        <is>
          <t>Continue service implementations and frontend integration.</t>
        </is>
      </c>
    </row>
    <row r="7">
      <c r="A7" s="7" t="n">
        <v>46299</v>
      </c>
      <c r="B7" s="5" t="inlineStr">
        <is>
          <t>Sadhna Gupta &amp; Dharmendra &amp; Yogesh</t>
        </is>
      </c>
      <c r="C7" s="5" t="inlineStr">
        <is>
          <t>T-007/T-008/T-009/T-010</t>
        </is>
      </c>
      <c r="D7" s="6" t="inlineStr">
        <is>
          <t>Completed backend service implementations and major React application, API, registration, authentication, administration and fee components.</t>
        </is>
      </c>
      <c r="E7" s="5" t="n">
        <v>8</v>
      </c>
      <c r="F7" s="5" t="inlineStr">
        <is>
          <t>completed</t>
        </is>
      </c>
      <c r="G7" s="6" t="inlineStr">
        <is>
          <t>None</t>
        </is>
      </c>
      <c r="H7" s="6" t="inlineStr">
        <is>
          <t>Finish workflow display, setup and testing.</t>
        </is>
      </c>
    </row>
    <row r="8">
      <c r="A8" s="7" t="n">
        <v>46300</v>
      </c>
      <c r="B8" s="5" t="inlineStr">
        <is>
          <t>Sadhna Gupta &amp; Dharmendra &amp; Yogesh &amp; Durga Prasad</t>
        </is>
      </c>
      <c r="C8" s="5" t="inlineStr">
        <is>
          <t>T-011/T-012</t>
        </is>
      </c>
      <c r="D8" s="6" t="inlineStr">
        <is>
          <t>Completed frontend status/progress display, backend setup and 17 passing JUnit API tests covering validation and new-registration RC generation.</t>
        </is>
      </c>
      <c r="E8" s="5" t="n">
        <v>8</v>
      </c>
      <c r="F8" s="5" t="inlineStr">
        <is>
          <t>completed</t>
        </is>
      </c>
      <c r="G8" s="6" t="inlineStr">
        <is>
          <t>None</t>
        </is>
      </c>
      <c r="H8" s="6" t="inlineStr">
        <is>
          <t>Project work for the tracker period completed.</t>
        </is>
      </c>
    </row>
    <row r="9">
      <c r="A9" s="13" t="n"/>
      <c r="B9" s="11" t="n"/>
      <c r="C9" s="11" t="n"/>
      <c r="D9" s="12" t="n"/>
      <c r="E9" s="11" t="n"/>
      <c r="F9" s="11" t="n"/>
      <c r="G9" s="12" t="n"/>
      <c r="H9" s="12" t="n"/>
    </row>
    <row r="10">
      <c r="A10" s="10" t="n"/>
      <c r="B10" s="8" t="n"/>
      <c r="C10" s="8" t="n"/>
      <c r="D10" s="9" t="n"/>
      <c r="E10" s="8" t="n"/>
      <c r="F10" s="8" t="n"/>
      <c r="G10" s="9" t="n"/>
      <c r="H10" s="9" t="n"/>
    </row>
    <row r="11">
      <c r="A11" s="13" t="n"/>
      <c r="B11" s="11" t="n"/>
      <c r="C11" s="11" t="n"/>
      <c r="D11" s="12" t="n"/>
      <c r="E11" s="11" t="n"/>
      <c r="F11" s="11" t="n"/>
      <c r="G11" s="12" t="n"/>
      <c r="H11" s="12" t="n"/>
    </row>
    <row r="12">
      <c r="A12" s="10" t="n"/>
      <c r="B12" s="8" t="n"/>
      <c r="C12" s="8" t="n"/>
      <c r="D12" s="9" t="n"/>
      <c r="E12" s="8" t="n"/>
      <c r="F12" s="8" t="n"/>
      <c r="G12" s="9" t="n"/>
      <c r="H12" s="9" t="n"/>
    </row>
    <row r="13">
      <c r="A13" s="13" t="n"/>
      <c r="B13" s="11" t="n"/>
      <c r="C13" s="11" t="n"/>
      <c r="D13" s="12" t="n"/>
      <c r="E13" s="11" t="n"/>
      <c r="F13" s="11" t="n"/>
      <c r="G13" s="12" t="n"/>
      <c r="H13" s="12" t="n"/>
    </row>
    <row r="14">
      <c r="A14" s="10" t="n"/>
      <c r="B14" s="8" t="n"/>
      <c r="C14" s="8" t="n"/>
      <c r="D14" s="9" t="n"/>
      <c r="E14" s="8" t="n"/>
      <c r="F14" s="8" t="n"/>
      <c r="G14" s="9" t="n"/>
      <c r="H14" s="9" t="n"/>
    </row>
    <row r="15">
      <c r="A15" s="13" t="n"/>
      <c r="B15" s="11" t="n"/>
      <c r="C15" s="11" t="n"/>
      <c r="D15" s="12" t="n"/>
      <c r="E15" s="11" t="n"/>
      <c r="F15" s="11" t="n"/>
      <c r="G15" s="12" t="n"/>
      <c r="H15" s="12" t="n"/>
    </row>
    <row r="16">
      <c r="A16" s="10" t="n"/>
      <c r="B16" s="8" t="n"/>
      <c r="C16" s="8" t="n"/>
      <c r="D16" s="9" t="n"/>
      <c r="E16" s="8" t="n"/>
      <c r="F16" s="8" t="n"/>
      <c r="G16" s="9" t="n"/>
      <c r="H16" s="9" t="n"/>
    </row>
    <row r="17">
      <c r="A17" s="13" t="n"/>
      <c r="B17" s="11" t="n"/>
      <c r="C17" s="11" t="n"/>
      <c r="D17" s="12" t="n"/>
      <c r="E17" s="11" t="n"/>
      <c r="F17" s="11" t="n"/>
      <c r="G17" s="12" t="n"/>
      <c r="H17" s="12" t="n"/>
    </row>
    <row r="18">
      <c r="A18" s="10" t="n"/>
      <c r="B18" s="8" t="n"/>
      <c r="C18" s="8" t="n"/>
      <c r="D18" s="9" t="n"/>
      <c r="E18" s="8" t="n"/>
      <c r="F18" s="8" t="n"/>
      <c r="G18" s="9" t="n"/>
      <c r="H18" s="9" t="n"/>
    </row>
    <row r="19">
      <c r="A19" s="13" t="n"/>
      <c r="B19" s="11" t="n"/>
      <c r="C19" s="11" t="n"/>
      <c r="D19" s="12" t="n"/>
      <c r="E19" s="11" t="n"/>
      <c r="F19" s="11" t="n"/>
      <c r="G19" s="12" t="n"/>
      <c r="H19" s="12" t="n"/>
    </row>
    <row r="20">
      <c r="A20" s="10" t="n"/>
      <c r="B20" s="8" t="n"/>
      <c r="C20" s="8" t="n"/>
      <c r="D20" s="9" t="n"/>
      <c r="E20" s="8" t="n"/>
      <c r="F20" s="8" t="n"/>
      <c r="G20" s="9" t="n"/>
      <c r="H20" s="9" t="n"/>
    </row>
    <row r="21">
      <c r="A21" s="13" t="n"/>
      <c r="B21" s="11" t="n"/>
      <c r="C21" s="11" t="n"/>
      <c r="D21" s="12" t="n"/>
      <c r="E21" s="11" t="n"/>
      <c r="F21" s="11" t="n"/>
      <c r="G21" s="12" t="n"/>
      <c r="H21" s="12" t="n"/>
    </row>
    <row r="22">
      <c r="A22" s="10" t="n"/>
      <c r="B22" s="8" t="n"/>
      <c r="C22" s="8" t="n"/>
      <c r="D22" s="9" t="n"/>
      <c r="E22" s="8" t="n"/>
      <c r="F22" s="8" t="n"/>
      <c r="G22" s="9" t="n"/>
      <c r="H22" s="9" t="n"/>
    </row>
    <row r="23">
      <c r="A23" s="13" t="n"/>
      <c r="B23" s="11" t="n"/>
      <c r="C23" s="11" t="n"/>
      <c r="D23" s="12" t="n"/>
      <c r="E23" s="11" t="n"/>
      <c r="F23" s="11" t="n"/>
      <c r="G23" s="12" t="n"/>
      <c r="H23" s="12" t="n"/>
    </row>
    <row r="24">
      <c r="A24" s="10" t="n"/>
      <c r="B24" s="8" t="n"/>
      <c r="C24" s="8" t="n"/>
      <c r="D24" s="9" t="n"/>
      <c r="E24" s="8" t="n"/>
      <c r="F24" s="8" t="n"/>
      <c r="G24" s="9" t="n"/>
      <c r="H24" s="9" t="n"/>
    </row>
    <row r="25">
      <c r="A25" s="13" t="n"/>
      <c r="B25" s="11" t="n"/>
      <c r="C25" s="11" t="n"/>
      <c r="D25" s="12" t="n"/>
      <c r="E25" s="11" t="n"/>
      <c r="F25" s="11" t="n"/>
      <c r="G25" s="12" t="n"/>
      <c r="H25" s="12" t="n"/>
    </row>
    <row r="26">
      <c r="A26" s="10" t="n"/>
      <c r="B26" s="8" t="n"/>
      <c r="C26" s="8" t="n"/>
      <c r="D26" s="9" t="n"/>
      <c r="E26" s="8" t="n"/>
      <c r="F26" s="8" t="n"/>
      <c r="G26" s="9" t="n"/>
      <c r="H26" s="9" t="n"/>
    </row>
    <row r="27">
      <c r="A27" s="13" t="n"/>
      <c r="B27" s="11" t="n"/>
      <c r="C27" s="11" t="n"/>
      <c r="D27" s="12" t="n"/>
      <c r="E27" s="11" t="n"/>
      <c r="F27" s="11" t="n"/>
      <c r="G27" s="12" t="n"/>
      <c r="H27" s="12" t="n"/>
    </row>
    <row r="28">
      <c r="A28" s="10" t="n"/>
      <c r="B28" s="8" t="n"/>
      <c r="C28" s="8" t="n"/>
      <c r="D28" s="9" t="n"/>
      <c r="E28" s="8" t="n"/>
      <c r="F28" s="8" t="n"/>
      <c r="G28" s="9" t="n"/>
      <c r="H28" s="9" t="n"/>
    </row>
    <row r="29">
      <c r="A29" s="13" t="n"/>
      <c r="B29" s="11" t="n"/>
      <c r="C29" s="11" t="n"/>
      <c r="D29" s="12" t="n"/>
      <c r="E29" s="11" t="n"/>
      <c r="F29" s="11" t="n"/>
      <c r="G29" s="12" t="n"/>
      <c r="H29" s="12" t="n"/>
    </row>
    <row r="30">
      <c r="A30" s="10" t="n"/>
      <c r="B30" s="8" t="n"/>
      <c r="C30" s="8" t="n"/>
      <c r="D30" s="9" t="n"/>
      <c r="E30" s="8" t="n"/>
      <c r="F30" s="8" t="n"/>
      <c r="G30" s="9" t="n"/>
      <c r="H30" s="9" t="n"/>
    </row>
    <row r="31">
      <c r="A31" s="13" t="n"/>
      <c r="B31" s="11" t="n"/>
      <c r="C31" s="11" t="n"/>
      <c r="D31" s="12" t="n"/>
      <c r="E31" s="11" t="n"/>
      <c r="F31" s="11" t="n"/>
      <c r="G31" s="12" t="n"/>
      <c r="H31" s="12" t="n"/>
    </row>
    <row r="32">
      <c r="A32" s="10" t="n"/>
      <c r="B32" s="8" t="n"/>
      <c r="C32" s="8" t="n"/>
      <c r="D32" s="9" t="n"/>
      <c r="E32" s="8" t="n"/>
      <c r="F32" s="8" t="n"/>
      <c r="G32" s="9" t="n"/>
      <c r="H32" s="9" t="n"/>
    </row>
    <row r="33">
      <c r="A33" s="13" t="n"/>
      <c r="B33" s="11" t="n"/>
      <c r="C33" s="11" t="n"/>
      <c r="D33" s="12" t="n"/>
      <c r="E33" s="11" t="n"/>
      <c r="F33" s="11" t="n"/>
      <c r="G33" s="12" t="n"/>
      <c r="H33" s="12" t="n"/>
    </row>
    <row r="34">
      <c r="A34" s="10" t="n"/>
      <c r="B34" s="8" t="n"/>
      <c r="C34" s="8" t="n"/>
      <c r="D34" s="9" t="n"/>
      <c r="E34" s="8" t="n"/>
      <c r="F34" s="8" t="n"/>
      <c r="G34" s="9" t="n"/>
      <c r="H34" s="9" t="n"/>
    </row>
    <row r="35">
      <c r="A35" s="13" t="n"/>
      <c r="B35" s="11" t="n"/>
      <c r="C35" s="11" t="n"/>
      <c r="D35" s="12" t="n"/>
      <c r="E35" s="11" t="n"/>
      <c r="F35" s="11" t="n"/>
      <c r="G35" s="12" t="n"/>
      <c r="H35" s="12" t="n"/>
    </row>
    <row r="36">
      <c r="A36" s="10" t="n"/>
      <c r="B36" s="8" t="n"/>
      <c r="C36" s="8" t="n"/>
      <c r="D36" s="9" t="n"/>
      <c r="E36" s="8" t="n"/>
      <c r="F36" s="8" t="n"/>
      <c r="G36" s="9" t="n"/>
      <c r="H36" s="9" t="n"/>
    </row>
    <row r="37">
      <c r="A37" s="13" t="n"/>
      <c r="B37" s="11" t="n"/>
      <c r="C37" s="11" t="n"/>
      <c r="D37" s="12" t="n"/>
      <c r="E37" s="11" t="n"/>
      <c r="F37" s="11" t="n"/>
      <c r="G37" s="12" t="n"/>
      <c r="H37" s="12" t="n"/>
    </row>
    <row r="38">
      <c r="A38" s="10" t="n"/>
      <c r="B38" s="8" t="n"/>
      <c r="C38" s="8" t="n"/>
      <c r="D38" s="9" t="n"/>
      <c r="E38" s="8" t="n"/>
      <c r="F38" s="8" t="n"/>
      <c r="G38" s="9" t="n"/>
      <c r="H38" s="9" t="n"/>
    </row>
    <row r="39">
      <c r="A39" s="13" t="n"/>
      <c r="B39" s="11" t="n"/>
      <c r="C39" s="11" t="n"/>
      <c r="D39" s="12" t="n"/>
      <c r="E39" s="11" t="n"/>
      <c r="F39" s="11" t="n"/>
      <c r="G39" s="12" t="n"/>
      <c r="H39" s="12" t="n"/>
    </row>
    <row r="40">
      <c r="A40" s="10" t="n"/>
      <c r="B40" s="8" t="n"/>
      <c r="C40" s="8" t="n"/>
      <c r="D40" s="9" t="n"/>
      <c r="E40" s="8" t="n"/>
      <c r="F40" s="8" t="n"/>
      <c r="G40" s="9" t="n"/>
      <c r="H40" s="9" t="n"/>
    </row>
    <row r="41">
      <c r="A41" s="13" t="n"/>
      <c r="B41" s="11" t="n"/>
      <c r="C41" s="11" t="n"/>
      <c r="D41" s="12" t="n"/>
      <c r="E41" s="11" t="n"/>
      <c r="F41" s="11" t="n"/>
      <c r="G41" s="12" t="n"/>
      <c r="H41" s="12" t="n"/>
    </row>
    <row r="42">
      <c r="A42" s="10" t="n"/>
      <c r="B42" s="8" t="n"/>
      <c r="C42" s="8" t="n"/>
      <c r="D42" s="9" t="n"/>
      <c r="E42" s="8" t="n"/>
      <c r="F42" s="8" t="n"/>
      <c r="G42" s="9" t="n"/>
      <c r="H42" s="9" t="n"/>
    </row>
    <row r="43">
      <c r="A43" s="13" t="n"/>
      <c r="B43" s="11" t="n"/>
      <c r="C43" s="11" t="n"/>
      <c r="D43" s="12" t="n"/>
      <c r="E43" s="11" t="n"/>
      <c r="F43" s="11" t="n"/>
      <c r="G43" s="12" t="n"/>
      <c r="H43" s="12" t="n"/>
    </row>
    <row r="44">
      <c r="A44" s="10" t="n"/>
      <c r="B44" s="8" t="n"/>
      <c r="C44" s="8" t="n"/>
      <c r="D44" s="9" t="n"/>
      <c r="E44" s="8" t="n"/>
      <c r="F44" s="8" t="n"/>
      <c r="G44" s="9" t="n"/>
      <c r="H44" s="9" t="n"/>
    </row>
    <row r="45">
      <c r="A45" s="13" t="n"/>
      <c r="B45" s="11" t="n"/>
      <c r="C45" s="11" t="n"/>
      <c r="D45" s="12" t="n"/>
      <c r="E45" s="11" t="n"/>
      <c r="F45" s="11" t="n"/>
      <c r="G45" s="12" t="n"/>
      <c r="H45" s="12" t="n"/>
    </row>
    <row r="46">
      <c r="A46" s="10" t="n"/>
      <c r="B46" s="8" t="n"/>
      <c r="C46" s="8" t="n"/>
      <c r="D46" s="9" t="n"/>
      <c r="E46" s="8" t="n"/>
      <c r="F46" s="8" t="n"/>
      <c r="G46" s="9" t="n"/>
      <c r="H46" s="9" t="n"/>
    </row>
  </sheetData>
  <mergeCells count="2">
    <mergeCell ref="A2:H2"/>
    <mergeCell ref="A1:H1"/>
  </mergeCells>
  <dataValidations count="1">
    <dataValidation sqref="F5:F46" showDropDown="0" showInputMessage="0" showErrorMessage="0" allowBlank="1" type="list">
      <formula1>"Not Started,In Progress,Blocked,In Review,Completed"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25"/>
  <sheetViews>
    <sheetView showGridLines="0" zoomScaleNormal="100" workbookViewId="0">
      <selection activeCell="A1" sqref="A1"/>
    </sheetView>
  </sheetViews>
  <sheetFormatPr baseColWidth="8" defaultColWidth="8.6640625" defaultRowHeight="14.4"/>
  <cols>
    <col width="3" customWidth="1" min="1" max="1"/>
    <col width="22" customWidth="1" min="2" max="2"/>
    <col width="14" customWidth="1" min="3" max="3"/>
  </cols>
  <sheetData>
    <row r="2" ht="21" customHeight="1">
      <c r="B2" s="22" t="inlineStr">
        <is>
          <t>Project Tracker Dashboard</t>
        </is>
      </c>
    </row>
    <row r="3">
      <c r="B3" s="23" t="inlineStr">
        <is>
          <t>Auto-calculated from the 'Task Tracker' sheet — do not edit these cells.</t>
        </is>
      </c>
    </row>
    <row r="5">
      <c r="B5" s="14" t="inlineStr">
        <is>
          <t>Task Status Summary</t>
        </is>
      </c>
    </row>
    <row r="6">
      <c r="B6" s="15" t="inlineStr">
        <is>
          <t>Total Tasks</t>
        </is>
      </c>
      <c r="C6" s="16">
        <f>COUNTIF('Task Tracker'!$A$5:$A$16,"&lt;&gt;")</f>
        <v/>
      </c>
    </row>
    <row r="7">
      <c r="B7" s="15" t="inlineStr">
        <is>
          <t>Not Started</t>
        </is>
      </c>
      <c r="C7" s="16">
        <f>COUNTIF('Task Tracker'!$F$5:$F$16,"Not Started")</f>
        <v/>
      </c>
    </row>
    <row r="8">
      <c r="B8" s="15" t="inlineStr">
        <is>
          <t>In Progress</t>
        </is>
      </c>
      <c r="C8" s="16">
        <f>COUNTIF('Task Tracker'!$F$5:$F$16,"In Progress")</f>
        <v/>
      </c>
    </row>
    <row r="9">
      <c r="B9" s="15" t="inlineStr">
        <is>
          <t>Blocked</t>
        </is>
      </c>
      <c r="C9" s="16">
        <f>COUNTIF('Task Tracker'!$F$5:$F$16,"Blocked")</f>
        <v/>
      </c>
    </row>
    <row r="10">
      <c r="B10" s="15" t="inlineStr">
        <is>
          <t>In Review</t>
        </is>
      </c>
      <c r="C10" s="16">
        <f>COUNTIF('Task Tracker'!$F$5:$F$16,"In Review")</f>
        <v/>
      </c>
    </row>
    <row r="11">
      <c r="B11" s="15" t="inlineStr">
        <is>
          <t>Completed</t>
        </is>
      </c>
      <c r="C11" s="16">
        <f>COUNTIF('Task Tracker'!$F$5:$F$16,"Completed")</f>
        <v/>
      </c>
    </row>
    <row r="13">
      <c r="B13" s="14" t="inlineStr">
        <is>
          <t>Effort Summary</t>
        </is>
      </c>
    </row>
    <row r="14">
      <c r="B14" s="15" t="inlineStr">
        <is>
          <t>Total Est. Hours</t>
        </is>
      </c>
      <c r="C14" s="17">
        <f>SUM('Task Tracker'!$I$5:$I$32)</f>
        <v/>
      </c>
    </row>
    <row r="15">
      <c r="B15" s="15" t="inlineStr">
        <is>
          <t>Total Hours Spent</t>
        </is>
      </c>
      <c r="C15" s="17">
        <f>SUM('Task Tracker'!$J$5:$J$32)</f>
        <v/>
      </c>
    </row>
    <row r="16">
      <c r="B16" s="15" t="inlineStr">
        <is>
          <t>Avg. % Complete</t>
        </is>
      </c>
      <c r="C16" s="18">
        <f>IFERROR(AVERAGE('Task Tracker'!$K$5:$K$32),0)</f>
        <v/>
      </c>
    </row>
    <row r="20">
      <c r="B20" s="14" t="inlineStr">
        <is>
          <t>Status</t>
        </is>
      </c>
      <c r="C20" s="14" t="inlineStr">
        <is>
          <t>Count</t>
        </is>
      </c>
      <c r="E20" t="inlineStr">
        <is>
          <t>Metric</t>
        </is>
      </c>
      <c r="F20" t="inlineStr">
        <is>
          <t>Hours</t>
        </is>
      </c>
    </row>
    <row r="21">
      <c r="B21" t="inlineStr">
        <is>
          <t>Not Started</t>
        </is>
      </c>
      <c r="C21">
        <f>C7</f>
        <v/>
      </c>
      <c r="E21" t="inlineStr">
        <is>
          <t>Est. Hours</t>
        </is>
      </c>
      <c r="F21" s="19">
        <f>C14</f>
        <v/>
      </c>
    </row>
    <row r="22">
      <c r="B22" t="inlineStr">
        <is>
          <t>In Progress</t>
        </is>
      </c>
      <c r="C22">
        <f>C8</f>
        <v/>
      </c>
      <c r="E22" t="inlineStr">
        <is>
          <t>Spent Hours</t>
        </is>
      </c>
      <c r="F22" s="19">
        <f>C15</f>
        <v/>
      </c>
    </row>
    <row r="23">
      <c r="B23" t="inlineStr">
        <is>
          <t>Blocked</t>
        </is>
      </c>
      <c r="C23">
        <f>C9</f>
        <v/>
      </c>
    </row>
    <row r="24">
      <c r="B24" t="inlineStr">
        <is>
          <t>In Review</t>
        </is>
      </c>
      <c r="C24">
        <f>C10</f>
        <v/>
      </c>
    </row>
    <row r="25">
      <c r="B25" t="inlineStr">
        <is>
          <t>Completed</t>
        </is>
      </c>
      <c r="C25">
        <f>C11</f>
        <v/>
      </c>
    </row>
  </sheetData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2026-09-23T11:54:13Z</dcterms:created>
  <dcterms:modified xmlns:dcterms="http://purl.org/dc/terms/" xmlns:xsi="http://www.w3.org/2001/XMLSchema-instance" xsi:type="dcterms:W3CDTF">2026-10-06T03:41:18Z</dcterms:modified>
  <cp:lastModifiedBy>Telugu Dharmendra</cp:lastModifiedBy>
  <cp:revision>1</cp:revision>
</cp:coreProperties>
</file>